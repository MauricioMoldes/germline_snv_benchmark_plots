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runtime" sheetId="2" r:id="rId6"/>
    <sheet state="visible" name="description of systems" sheetId="3" r:id="rId7"/>
    <sheet state="visible" name="Pipeline Description"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tc={106e718e-ea7c-4f9e-87e5-1cf55f7c802a}</author>
    <author>tc={6c80d2d0-6a03-43ad-9ec0-261a413e7369}</author>
    <author>tc={b549c91e-bf61-49c0-8218-3b03253bdba9}</author>
  </authors>
  <commentList>
    <comment authorId="0" xr:uid="{106e718e-ea7c-4f9e-87e5-1cf55f7c802a}" ref="O1">
      <text>
        <t xml:space="preserve">[Threaded comment]
 Your version of Excel allows you to read this threaded comment; however, any edits to it will get removed if the file is opened in a newer version of Excel. Learn more: https://go.microsoft.com/fwlink/?linkid=870924
Comment:
	How about we rather make a infrastructure description and refer to the infrastructure used?
</t>
      </text>
    </comment>
    <comment authorId="1" xr:uid="{6c80d2d0-6a03-43ad-9ec0-261a413e7369}" ref="O6">
      <text>
        <t xml:space="preserve">[Threaded comment]
 Your version of Excel allows you to read this threaded comment; however, any edits to it will get removed if the file is opened in a newer version of Excel. Learn more: https://go.microsoft.com/fwlink/?linkid=870924
Comment:
	@martin.thomsen@dcai.dk
Assigned to martin.thomsen@dcai.dk
</t>
      </text>
    </comment>
    <comment authorId="2" xr:uid="{b549c91e-bf61-49c0-8218-3b03253bdba9}" ref="O6">
      <text>
        <t xml:space="preserve">[Threaded comment]
 Your version of Excel allows you to read this threaded comment; however, any edits to it will get removed if the file is opened in a newer version of Excel. Learn more: https://go.microsoft.com/fwlink/?linkid=870924
Comment:
	We can put this here, but it does not really match the requirement. 
There are not really a specific structural requirement for H100 here, but i think you need NVIDIA hardware and a license to run parabricks.
Reply:
	However, I'm not updated on the actual requirements here, NVIDIA would be better to answer such requirements to use their software.
</t>
      </text>
    </comment>
  </commentList>
</comments>
</file>

<file path=xl/sharedStrings.xml><?xml version="1.0" encoding="utf-8"?>
<sst xmlns="http://schemas.openxmlformats.org/spreadsheetml/2006/main" count="206" uniqueCount="114">
  <si>
    <t>Pipeline number</t>
  </si>
  <si>
    <t>responsible</t>
  </si>
  <si>
    <t>Infratructure</t>
  </si>
  <si>
    <r>
      <rPr>
        <rFont val="Arial,sans-serif"/>
        <b/>
        <color rgb="FF000000"/>
        <sz val="11.0"/>
      </rPr>
      <t xml:space="preserve">Pipeline name (add description in Pipeline Description tab)
</t>
    </r>
    <r>
      <rPr>
        <rFont val="Arial,sans-serif"/>
        <i/>
        <color rgb="FF000000"/>
        <sz val="11.0"/>
      </rPr>
      <t>- please update. OK if long. we will put in paper</t>
    </r>
  </si>
  <si>
    <t>version</t>
  </si>
  <si>
    <t>run</t>
  </si>
  <si>
    <t>queue/flexible 
or local/fixed</t>
  </si>
  <si>
    <t>walltime runtime</t>
  </si>
  <si>
    <t>Total node hours</t>
  </si>
  <si>
    <t>CPU time (s)</t>
  </si>
  <si>
    <t>gpu time</t>
  </si>
  <si>
    <t>CPU allocated</t>
  </si>
  <si>
    <t>MEM allocated</t>
  </si>
  <si>
    <t>Structural requirements</t>
  </si>
  <si>
    <t>CB</t>
  </si>
  <si>
    <t>NGC</t>
  </si>
  <si>
    <t>GM Snakemake - Alignment with Sentieon BWA-MEM + VariantCalling with GATK (java)</t>
  </si>
  <si>
    <t>done</t>
  </si>
  <si>
    <t>queue/flexible</t>
  </si>
  <si>
    <t>see next sheet</t>
  </si>
  <si>
    <t>variable</t>
  </si>
  <si>
    <t>HPC cluster with queing system</t>
  </si>
  <si>
    <t>local/fixed</t>
  </si>
  <si>
    <t>Large computer with multiple CPUs</t>
  </si>
  <si>
    <t>GM Snakemake - Alignment with Sentieon BWA-MEM + VariantCalling with Sentieon-GATK</t>
  </si>
  <si>
    <t>HPC cluster with queing system and Senteion license</t>
  </si>
  <si>
    <t>Large computer with multiple CPUs large memory and Senteion license</t>
  </si>
  <si>
    <t>MT</t>
  </si>
  <si>
    <t>GEFION</t>
  </si>
  <si>
    <t>pb_direct</t>
  </si>
  <si>
    <r>
      <rPr>
        <rFont val="Arial,sans-serif"/>
        <b/>
        <color rgb="FF000000"/>
        <sz val="12.0"/>
      </rPr>
      <t>Parabricks Germline Tools Running On Gefion Infratsructure.
Configuration</t>
    </r>
    <r>
      <rPr>
        <rFont val="Arial,sans-serif"/>
        <color rgb="FF000000"/>
        <sz val="12.0"/>
      </rPr>
      <t xml:space="preserve">: Downloaded the container from NVIDIAs website through the available Proxy on Gefion.
</t>
    </r>
    <r>
      <rPr>
        <rFont val="Arial,sans-serif"/>
        <b/>
        <color rgb="FF000000"/>
        <sz val="12.0"/>
      </rPr>
      <t xml:space="preserve">Infrastructure: </t>
    </r>
    <r>
      <rPr>
        <rFont val="Arial,sans-serif"/>
        <color rgb="FF000000"/>
        <sz val="12.0"/>
      </rPr>
      <t>H100 GPU Cluster on Gefion</t>
    </r>
    <r>
      <rPr>
        <rFont val="Arial,sans-serif"/>
        <b/>
        <color rgb="FF000000"/>
        <sz val="12.0"/>
      </rPr>
      <t xml:space="preserve">
Resource Files used</t>
    </r>
    <r>
      <rPr>
        <rFont val="Arial,sans-serif"/>
        <color rgb="FF000000"/>
        <sz val="12.0"/>
      </rPr>
      <t xml:space="preserve">: None
Tools &amp; Setup: 
</t>
    </r>
    <r>
      <rPr>
        <rFont val="Arial,sans-serif"/>
        <b/>
        <color rgb="FF000000"/>
        <sz val="12.0"/>
      </rPr>
      <t xml:space="preserve">fq2bam </t>
    </r>
    <r>
      <rPr>
        <rFont val="Arial,sans-serif"/>
        <color rgb="FF000000"/>
        <sz val="12.0"/>
      </rPr>
      <t xml:space="preserve">- Full NVIDIA H100 node allocated, simple out of the box implementation with no performance optimisation or intervals. No resources was used and no recalibration.
</t>
    </r>
    <r>
      <rPr>
        <rFont val="Arial,sans-serif"/>
        <b/>
        <color rgb="FF000000"/>
        <sz val="12.0"/>
      </rPr>
      <t xml:space="preserve">HaplotypeCaller </t>
    </r>
    <r>
      <rPr>
        <rFont val="Arial,sans-serif"/>
        <color rgb="FF000000"/>
        <sz val="12.0"/>
      </rPr>
      <t xml:space="preserve">- 2 GPU on a H100 node allocated, simple out of the box implementation with no performance optimisation or intervals. No recalibration file.
</t>
    </r>
    <r>
      <rPr>
        <rFont val="Arial,sans-serif"/>
        <b/>
        <color rgb="FF000000"/>
        <sz val="12.0"/>
      </rPr>
      <t xml:space="preserve">DeepVariant </t>
    </r>
    <r>
      <rPr>
        <rFont val="Arial,sans-serif"/>
        <color rgb="FF000000"/>
        <sz val="12.0"/>
      </rPr>
      <t>- 6 GPU on a H100 node allocated, simple out of the box implementation with no performance optimisation or intervals.</t>
    </r>
  </si>
  <si>
    <t>4.6.0-1</t>
  </si>
  <si>
    <t>queue/fixed</t>
  </si>
  <si>
    <t>N/A, but can be calculated as 112*node hour = 327</t>
  </si>
  <si>
    <t>N/A, but can be calculated as 8*node hour = 23,4</t>
  </si>
  <si>
    <t>Nvidia GPU</t>
  </si>
  <si>
    <t>pb_direct2</t>
  </si>
  <si>
    <r>
      <rPr>
        <rFont val="Arial,sans-serif"/>
        <b/>
        <color rgb="FF000000"/>
        <sz val="12.0"/>
      </rPr>
      <t>Parabricks Germline Tools Running On Gefion Infratsructure.
Configuration</t>
    </r>
    <r>
      <rPr>
        <rFont val="Arial,sans-serif"/>
        <color rgb="FF000000"/>
        <sz val="12.0"/>
      </rPr>
      <t xml:space="preserve">: Same as the pb_direct pipeline.
</t>
    </r>
    <r>
      <rPr>
        <rFont val="Arial,sans-serif"/>
        <b/>
        <color rgb="FF000000"/>
        <sz val="12.0"/>
      </rPr>
      <t>Infrastructure:</t>
    </r>
    <r>
      <rPr>
        <rFont val="Arial,sans-serif"/>
        <color rgb="FF000000"/>
        <sz val="12.0"/>
      </rPr>
      <t xml:space="preserve"> H100 GPU Cluster on Gefion</t>
    </r>
    <r>
      <rPr>
        <rFont val="Arial,sans-serif"/>
        <b/>
        <color rgb="FF000000"/>
        <sz val="12.0"/>
      </rPr>
      <t xml:space="preserve">
Resource files used</t>
    </r>
    <r>
      <rPr>
        <rFont val="Arial,sans-serif"/>
        <color rgb="FF000000"/>
        <sz val="12.0"/>
      </rPr>
      <t xml:space="preserve">: Mills, indels, dbsnps and snps
Tools &amp; Setup: 
</t>
    </r>
    <r>
      <rPr>
        <rFont val="Arial,sans-serif"/>
        <b/>
        <color rgb="FF000000"/>
        <sz val="12.0"/>
      </rPr>
      <t xml:space="preserve">fq2bam </t>
    </r>
    <r>
      <rPr>
        <rFont val="Arial,sans-serif"/>
        <color rgb="FF000000"/>
        <sz val="12.0"/>
      </rPr>
      <t xml:space="preserve">- Full NVIDIA H100 node allocated, simple out of the box implementation with no performance optimisation or intervals. Resources was added with the --KnownSites option, and a recalibration file was created.
</t>
    </r>
    <r>
      <rPr>
        <rFont val="Arial,sans-serif"/>
        <b/>
        <color rgb="FF000000"/>
        <sz val="12.0"/>
      </rPr>
      <t xml:space="preserve">HaplotypeCaller </t>
    </r>
    <r>
      <rPr>
        <rFont val="Arial,sans-serif"/>
        <color rgb="FF000000"/>
        <sz val="12.0"/>
      </rPr>
      <t xml:space="preserve">- 2 GPU on a H100 node allocated, simple out of the box implementation with no performance optimisation or intervals. The recalibration file was added as input.
</t>
    </r>
    <r>
      <rPr>
        <rFont val="Arial,sans-serif"/>
        <b/>
        <color rgb="FF000000"/>
        <sz val="12.0"/>
      </rPr>
      <t xml:space="preserve">DeepVariant </t>
    </r>
    <r>
      <rPr>
        <rFont val="Arial,sans-serif"/>
        <color rgb="FF000000"/>
        <sz val="12.0"/>
      </rPr>
      <t>- 6 GPU on a H100 node allocated, simple out of the box implementation with no performance optimisation or intervals.</t>
    </r>
  </si>
  <si>
    <t>N/A, but can be calculated as 112*node hour = 300</t>
  </si>
  <si>
    <t>N/A, but can be calculated as 8*node hour = 21,4</t>
  </si>
  <si>
    <t>sarek_bwa_gpucluster</t>
  </si>
  <si>
    <r>
      <rPr>
        <rFont val="Arial,sans-serif"/>
        <b/>
        <color rgb="FF000000"/>
        <sz val="12.0"/>
      </rPr>
      <t xml:space="preserve">Nextflow NFCORE Sarek WGS Germline Pipeline Running On H100 Gefion Infratsructure.
Infrastructure: </t>
    </r>
    <r>
      <rPr>
        <rFont val="Arial,sans-serif"/>
        <color rgb="FF000000"/>
        <sz val="12.0"/>
      </rPr>
      <t>H100 GPU Cluster on Gefion</t>
    </r>
    <r>
      <rPr>
        <rFont val="Arial,sans-serif"/>
        <b/>
        <color rgb="FF000000"/>
        <sz val="12.0"/>
      </rPr>
      <t xml:space="preserve">
Resource files used</t>
    </r>
    <r>
      <rPr>
        <rFont val="Arial,sans-serif"/>
        <color rgb="FF000000"/>
        <sz val="12.0"/>
      </rPr>
      <t xml:space="preserve">: None
</t>
    </r>
    <r>
      <rPr>
        <rFont val="Arial,sans-serif"/>
        <b/>
        <color rgb="FF000000"/>
        <sz val="12.0"/>
      </rPr>
      <t>Aligner</t>
    </r>
    <r>
      <rPr>
        <rFont val="Arial,sans-serif"/>
        <color rgb="FF000000"/>
        <sz val="12.0"/>
      </rPr>
      <t xml:space="preserve">: bwa-mem2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Sarek requires a lot of configuration to work in offline mode. The pipeline source code, all plugins, and containers were downloaded and transferred to Gefion. multiple configuration files were created, to override all container calls, set resource limits, enable Apptainer for container execution (direct pyxis implementation not available in Nextflow), setup process instructions for cluster options, and fix containers and resource allocations for a few of the tasks.
</t>
    </r>
    <r>
      <rPr>
        <rFont val="Arial,sans-serif"/>
        <b/>
        <color rgb="FF000000"/>
        <sz val="12.0"/>
      </rPr>
      <t>Setup</t>
    </r>
    <r>
      <rPr>
        <rFont val="Arial,sans-serif"/>
        <color rgb="FF000000"/>
        <sz val="12.0"/>
      </rPr>
      <t xml:space="preserve">: Sarek was run out of the box without performance optimisation or intervals, and with no resource files and no baserecalibration. </t>
    </r>
  </si>
  <si>
    <t>3.7.0</t>
  </si>
  <si>
    <t>6h 30m 9s</t>
  </si>
  <si>
    <t>0 I guess, but the full node is still allocated, so the 8 GPU are just wasted in this case for the full node hour duration</t>
  </si>
  <si>
    <t>sarek_bwa_gpucluster2 (with resources and baserecalibration)</t>
  </si>
  <si>
    <r>
      <rPr>
        <rFont val="Arial,sans-serif"/>
        <b/>
        <color rgb="FF000000"/>
        <sz val="12.0"/>
      </rPr>
      <t xml:space="preserve">Nextflow NFCORE Sarek WGS Germline Pipeline Running On H100 Gefion Infratsructure.
Infrastructure: </t>
    </r>
    <r>
      <rPr>
        <rFont val="Arial,sans-serif"/>
        <color rgb="FF000000"/>
        <sz val="12.0"/>
      </rPr>
      <t>H100 GPU Cluster on Gefion</t>
    </r>
    <r>
      <rPr>
        <rFont val="Arial,sans-serif"/>
        <b/>
        <color rgb="FF000000"/>
        <sz val="12.0"/>
      </rPr>
      <t xml:space="preserve">
Resource files used: </t>
    </r>
    <r>
      <rPr>
        <rFont val="Arial,sans-serif"/>
        <color rgb="FF000000"/>
        <sz val="12.0"/>
      </rPr>
      <t xml:space="preserve">Mills, indels, dbsnps and snps
</t>
    </r>
    <r>
      <rPr>
        <rFont val="Arial,sans-serif"/>
        <b/>
        <color rgb="FF000000"/>
        <sz val="12.0"/>
      </rPr>
      <t>Aligner</t>
    </r>
    <r>
      <rPr>
        <rFont val="Arial,sans-serif"/>
        <color rgb="FF000000"/>
        <sz val="12.0"/>
      </rPr>
      <t xml:space="preserve">: bwa-mem2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Same as the sarek_bwa_gpucluster pipeline
</t>
    </r>
    <r>
      <rPr>
        <rFont val="Arial,sans-serif"/>
        <b/>
        <color rgb="FF000000"/>
        <sz val="12.0"/>
      </rPr>
      <t>Setup</t>
    </r>
    <r>
      <rPr>
        <rFont val="Arial,sans-serif"/>
        <color rgb="FF000000"/>
        <sz val="12.0"/>
      </rPr>
      <t>: Sarek was run out of the box without performance optimisation or intervals. Resources was added with the corresponding options, and baserecalibration was enabled.</t>
    </r>
  </si>
  <si>
    <t>7h 8m 29s</t>
  </si>
  <si>
    <t>sarek_bwa_gpucluster3 (bwa-mem aligner)</t>
  </si>
  <si>
    <r>
      <rPr>
        <rFont val="Arial,sans-serif"/>
        <b/>
        <color rgb="FF000000"/>
        <sz val="12.0"/>
      </rPr>
      <t xml:space="preserve">Nextflow NFCORE Sarek WGS Germline Pipeline Running On H100 Gefion Infratsructure.
Infrastructure: </t>
    </r>
    <r>
      <rPr>
        <rFont val="Arial,sans-serif"/>
        <color rgb="FF000000"/>
        <sz val="12.0"/>
      </rPr>
      <t>H100 GPU Cluster on Gefion</t>
    </r>
    <r>
      <rPr>
        <rFont val="Arial,sans-serif"/>
        <b/>
        <color rgb="FF000000"/>
        <sz val="12.0"/>
      </rPr>
      <t xml:space="preserve">
Resource files used: </t>
    </r>
    <r>
      <rPr>
        <rFont val="Arial,sans-serif"/>
        <color rgb="FF000000"/>
        <sz val="12.0"/>
      </rPr>
      <t xml:space="preserve">Mills, indels, dbsnps and snps
</t>
    </r>
    <r>
      <rPr>
        <rFont val="Arial,sans-serif"/>
        <b/>
        <color rgb="FF000000"/>
        <sz val="12.0"/>
      </rPr>
      <t>Aligner</t>
    </r>
    <r>
      <rPr>
        <rFont val="Arial,sans-serif"/>
        <color rgb="FF000000"/>
        <sz val="12.0"/>
      </rPr>
      <t xml:space="preserve">: bwa-mem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Same as the sarek_bwa_gpucluster pipeline
</t>
    </r>
    <r>
      <rPr>
        <rFont val="Arial,sans-serif"/>
        <b/>
        <color rgb="FF000000"/>
        <sz val="12.0"/>
      </rPr>
      <t>Setup</t>
    </r>
    <r>
      <rPr>
        <rFont val="Arial,sans-serif"/>
        <color rgb="FF000000"/>
        <sz val="12.0"/>
      </rPr>
      <t>: Sarek was run out of the box without performance optimisation or intervals. Resources was added with the corresponding options, and baserecalibration was enabled.</t>
    </r>
  </si>
  <si>
    <t>7h 25m 24s</t>
  </si>
  <si>
    <t>sarek_bwa_gpucluster4 (With Nicos suggested Sarek tweaks)</t>
  </si>
  <si>
    <r>
      <rPr>
        <rFont val="Arial,sans-serif"/>
        <b/>
        <color rgb="FF000000"/>
        <sz val="12.0"/>
      </rPr>
      <t>Nextflow NFCORE Sarek WGS Germline Pipeline Running On H100 Gefion Infratsructure.
Infrastructure:</t>
    </r>
    <r>
      <rPr>
        <rFont val="Arial,sans-serif"/>
        <color rgb="FF000000"/>
        <sz val="12.0"/>
      </rPr>
      <t xml:space="preserve"> H100 GPU Cluster on Gefion</t>
    </r>
    <r>
      <rPr>
        <rFont val="Arial,sans-serif"/>
        <b/>
        <color rgb="FF000000"/>
        <sz val="12.0"/>
      </rPr>
      <t xml:space="preserve">
Resource files used: </t>
    </r>
    <r>
      <rPr>
        <rFont val="Arial,sans-serif"/>
        <color rgb="FF000000"/>
        <sz val="12.0"/>
      </rPr>
      <t xml:space="preserve">Mills, indels, dbsnps and snps
</t>
    </r>
    <r>
      <rPr>
        <rFont val="Arial,sans-serif"/>
        <b/>
        <color rgb="FF000000"/>
        <sz val="12.0"/>
      </rPr>
      <t>Aligner</t>
    </r>
    <r>
      <rPr>
        <rFont val="Arial,sans-serif"/>
        <color rgb="FF000000"/>
        <sz val="12.0"/>
      </rPr>
      <t xml:space="preserve">: bwa-mem2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Same as the sarek_bwa_gpucluster pipeline
</t>
    </r>
    <r>
      <rPr>
        <rFont val="Arial,sans-serif"/>
        <b/>
        <color rgb="FF000000"/>
        <sz val="12.0"/>
      </rPr>
      <t>Setup</t>
    </r>
    <r>
      <rPr>
        <rFont val="Arial,sans-serif"/>
        <color rgb="FF000000"/>
        <sz val="12.0"/>
      </rPr>
      <t>: Sarek was run with some additional suggested optimisation/configuration, but no intervals. Resources was added with the corresponding options, and baserecalibration was disabled.</t>
    </r>
  </si>
  <si>
    <t>6h 37m 34s</t>
  </si>
  <si>
    <t>sarek_bwa_cpucluster</t>
  </si>
  <si>
    <r>
      <rPr>
        <rFont val="Arial,sans-serif"/>
        <b/>
        <color rgb="FF000000"/>
        <sz val="12.0"/>
      </rPr>
      <t xml:space="preserve">Nextflow NFCORE Sarek WGS Germline Pipeline Running On CPU cluster on Gefion Infrastructure.
Infrastructure: </t>
    </r>
    <r>
      <rPr>
        <rFont val="Arial,sans-serif"/>
        <color rgb="FF000000"/>
        <sz val="12.0"/>
      </rPr>
      <t>CPU Cluster on Gefion</t>
    </r>
    <r>
      <rPr>
        <rFont val="Arial,sans-serif"/>
        <b/>
        <color rgb="FF000000"/>
        <sz val="12.0"/>
      </rPr>
      <t xml:space="preserve">
Resource files used</t>
    </r>
    <r>
      <rPr>
        <rFont val="Arial,sans-serif"/>
        <color rgb="FF000000"/>
        <sz val="12.0"/>
      </rPr>
      <t xml:space="preserve">: None
</t>
    </r>
    <r>
      <rPr>
        <rFont val="Arial,sans-serif"/>
        <b/>
        <color rgb="FF000000"/>
        <sz val="12.0"/>
      </rPr>
      <t>Aligner</t>
    </r>
    <r>
      <rPr>
        <rFont val="Arial,sans-serif"/>
        <color rgb="FF000000"/>
        <sz val="12.0"/>
      </rPr>
      <t xml:space="preserve">: bwa-mem2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Same as the sarek_bwa_gpucluster pipeline, but with a separate config file configured for the cpu-cluster.
</t>
    </r>
    <r>
      <rPr>
        <rFont val="Arial,sans-serif"/>
        <b/>
        <color rgb="FF000000"/>
        <sz val="12.0"/>
      </rPr>
      <t>Setup</t>
    </r>
    <r>
      <rPr>
        <rFont val="Arial,sans-serif"/>
        <color rgb="FF000000"/>
        <sz val="12.0"/>
      </rPr>
      <t xml:space="preserve">: Sarek was run out of the box without performance optimisation or intervals, and with no resource files and no baserecalibration. </t>
    </r>
  </si>
  <si>
    <t>5h 18m 44s</t>
  </si>
  <si>
    <t>sarek_bwa_cpucluster2</t>
  </si>
  <si>
    <r>
      <rPr>
        <rFont val="Arial,sans-serif"/>
        <b/>
        <color rgb="FF000000"/>
        <sz val="12.0"/>
      </rPr>
      <t xml:space="preserve">Nextflow NFCORE Sarek WGS Germline Pipeline Running on CPU cluster on Gefion Infrastructure.
Infrastructure: </t>
    </r>
    <r>
      <rPr>
        <rFont val="Arial,sans-serif"/>
        <color rgb="FF000000"/>
        <sz val="12.0"/>
      </rPr>
      <t>CPU Cluster on Gefion</t>
    </r>
    <r>
      <rPr>
        <rFont val="Arial,sans-serif"/>
        <b/>
        <color rgb="FF000000"/>
        <sz val="12.0"/>
      </rPr>
      <t xml:space="preserve">
Resource files used: </t>
    </r>
    <r>
      <rPr>
        <rFont val="Arial,sans-serif"/>
        <color rgb="FF000000"/>
        <sz val="12.0"/>
      </rPr>
      <t xml:space="preserve">Mills, indels, dbsnps and snps
</t>
    </r>
    <r>
      <rPr>
        <rFont val="Arial,sans-serif"/>
        <b/>
        <color rgb="FF000000"/>
        <sz val="12.0"/>
      </rPr>
      <t>Aligner</t>
    </r>
    <r>
      <rPr>
        <rFont val="Arial,sans-serif"/>
        <color rgb="FF000000"/>
        <sz val="12.0"/>
      </rPr>
      <t xml:space="preserve">: bwa-mem2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Same as the sarek_bwa_cpucluster pipeline
</t>
    </r>
    <r>
      <rPr>
        <rFont val="Arial,sans-serif"/>
        <b/>
        <color rgb="FF000000"/>
        <sz val="12.0"/>
      </rPr>
      <t>Setup</t>
    </r>
    <r>
      <rPr>
        <rFont val="Arial,sans-serif"/>
        <color rgb="FF000000"/>
        <sz val="12.0"/>
      </rPr>
      <t>: Sarek was run out of the box without performance optimisation or intervals. Resources was added with the corresponding options, and baserecalibration was enabled.</t>
    </r>
  </si>
  <si>
    <t>6h 7m 1s</t>
  </si>
  <si>
    <t>sarek_pbfq2bam</t>
  </si>
  <si>
    <r>
      <rPr>
        <rFont val="Arial,sans-serif"/>
        <b/>
        <color rgb="FF000000"/>
        <sz val="12.0"/>
      </rPr>
      <t xml:space="preserve">Nextflow NFCORE Sarek WGS Germline Pipeline Running On H100 Gefion Infratsructure.
Infrastructure: </t>
    </r>
    <r>
      <rPr>
        <rFont val="Arial,sans-serif"/>
        <color rgb="FF000000"/>
        <sz val="12.0"/>
      </rPr>
      <t>H100 GPU Cluster on Gefion</t>
    </r>
    <r>
      <rPr>
        <rFont val="Arial,sans-serif"/>
        <b/>
        <color rgb="FF000000"/>
        <sz val="12.0"/>
      </rPr>
      <t xml:space="preserve">
Resource files used: </t>
    </r>
    <r>
      <rPr>
        <rFont val="Arial,sans-serif"/>
        <color rgb="FF000000"/>
        <sz val="12.0"/>
      </rPr>
      <t xml:space="preserve">Mills, indels, dbsnps and snps
</t>
    </r>
    <r>
      <rPr>
        <rFont val="Arial,sans-serif"/>
        <b/>
        <color rgb="FF000000"/>
        <sz val="12.0"/>
      </rPr>
      <t>Aligner</t>
    </r>
    <r>
      <rPr>
        <rFont val="Arial,sans-serif"/>
        <color rgb="FF000000"/>
        <sz val="12.0"/>
      </rPr>
      <t xml:space="preserve">: Parabricks fq2bam
</t>
    </r>
    <r>
      <rPr>
        <rFont val="Arial,sans-serif"/>
        <b/>
        <color rgb="FF000000"/>
        <sz val="12.0"/>
      </rPr>
      <t>Tools</t>
    </r>
    <r>
      <rPr>
        <rFont val="Arial,sans-serif"/>
        <color rgb="FF000000"/>
        <sz val="12.0"/>
      </rPr>
      <t xml:space="preserve">: GATK HaplotypeCaller, DeepVariant, CNVkit, Strelka2
</t>
    </r>
    <r>
      <rPr>
        <rFont val="Arial,sans-serif"/>
        <b/>
        <color rgb="FF000000"/>
        <sz val="12.0"/>
      </rPr>
      <t>Configuration</t>
    </r>
    <r>
      <rPr>
        <rFont val="Arial,sans-serif"/>
        <color rgb="FF000000"/>
        <sz val="12.0"/>
      </rPr>
      <t xml:space="preserve">: Same as the sarek_bwa_gpucluster pipeline
</t>
    </r>
    <r>
      <rPr>
        <rFont val="Arial,sans-serif"/>
        <b/>
        <color rgb="FF000000"/>
        <sz val="12.0"/>
      </rPr>
      <t>Setup</t>
    </r>
    <r>
      <rPr>
        <rFont val="Arial,sans-serif"/>
        <color rgb="FF000000"/>
        <sz val="12.0"/>
      </rPr>
      <t>: Sarek was run out of the box without performance optimisation or intervals. Resources was added with the corresponding options, and baserecalibration was enabled.</t>
    </r>
  </si>
  <si>
    <t>4h 35m 13s</t>
  </si>
  <si>
    <t>NA, but can be calculated as 8*node hour = 147,12</t>
  </si>
  <si>
    <t>NVIDIA GPU</t>
  </si>
  <si>
    <t>NR</t>
  </si>
  <si>
    <t>Sarek with BWA-mem On NGC: GATK HaplotypeCaller, DeepVariant, CNVkit, Strelka2, consensus calling (n=3)</t>
  </si>
  <si>
    <t>3.7.1</t>
  </si>
  <si>
    <t>Sarek with Sentieon tools On NGC: Sentieon BWA-mem, Sentieon Haplotyper, DeepVariant, CNVkit, Strelka2 (NGC Nico)</t>
  </si>
  <si>
    <t>DeepVariant, CNVkit, Strelka2 (NGC Nico)</t>
  </si>
  <si>
    <t>LF</t>
  </si>
  <si>
    <t>Sarek on AWS: alignment, variant caller(s) (Lasse Folkersen)</t>
  </si>
  <si>
    <t>Senteion CLI</t>
  </si>
  <si>
    <t>rare disease</t>
  </si>
  <si>
    <t>in progress</t>
  </si>
  <si>
    <t>ALOS</t>
  </si>
  <si>
    <t>Illumina ICA/Dragen Box</t>
  </si>
  <si>
    <t>DRAGEN</t>
  </si>
  <si>
    <t>4.3.13</t>
  </si>
  <si>
    <t>either of 1) Physical hardware DRAGEN; 
2) access and permissions to use to DRAGEN in the cloud (IVA)
3) Seqeuencing machine with build-in DRAGEN hardware</t>
  </si>
  <si>
    <t>Total runtime in seconds</t>
  </si>
  <si>
    <t>Total walltime of the main job</t>
  </si>
  <si>
    <t>Total walltime of the longest job</t>
  </si>
  <si>
    <t xml:space="preserve">Sample </t>
  </si>
  <si>
    <t>NA12877</t>
  </si>
  <si>
    <t>NA12878</t>
  </si>
  <si>
    <t>NA12879</t>
  </si>
  <si>
    <t>NA12881</t>
  </si>
  <si>
    <t>NA12882</t>
  </si>
  <si>
    <t>NA12885</t>
  </si>
  <si>
    <t>NA12886</t>
  </si>
  <si>
    <t>Total</t>
  </si>
  <si>
    <t>Total in hours</t>
  </si>
  <si>
    <t>Total cputime in seconds</t>
  </si>
  <si>
    <t>Total cputime of all cluster jobs</t>
  </si>
  <si>
    <t>Total cputime of the main job</t>
  </si>
  <si>
    <t>Calculated allocation cpu time</t>
  </si>
  <si>
    <t>Sample</t>
  </si>
  <si>
    <t>system name</t>
  </si>
  <si>
    <t>cpu/node</t>
  </si>
  <si>
    <t>gpu/node</t>
  </si>
  <si>
    <t>mem/node</t>
  </si>
  <si>
    <t>storage system</t>
  </si>
  <si>
    <t>data link</t>
  </si>
  <si>
    <t>Gefion H100 GPU Cluster</t>
  </si>
  <si>
    <t>2.0Ti</t>
  </si>
  <si>
    <t>Gefion CPU Cluster</t>
  </si>
  <si>
    <t>708Gi</t>
  </si>
  <si>
    <t>NGC CPU</t>
  </si>
  <si>
    <t>AWS</t>
  </si>
  <si>
    <t>Pipeline name</t>
  </si>
  <si>
    <t>Pipeline description</t>
  </si>
  <si>
    <t>Snakemake pipeline with the following steps:
1.- adapter trimming with bbduk (BBMap version 38.26)
2.- aligment with sentieon bwa-mem (sentieon version 202308.03)
    2.1.- substep alignment + sorting: sentieon bwa mem + sention util sort
    2.2.- substep mark duplicates: sentieon driver --algo LocusCollector + sentieon driver --algo Dedup
    2.3.- substep conversion bam to cram: samtools version 1.10
3.- variant calling with haplotype caller (GATK 4.2.6.1 + Java 1.8.0):
    3.1.- substep HaplotypeCaller (50 bins)
    3.2.- substep scatter gather to generate a single gVCF (gatk GatherVcfs)
    3.3.- substep GenotypeGVCFs to generate final VCF
The pipeline can be executed in multi-jobs mode (submission of paralell cluster jobs) or single-job mode (whole pipeline running in a single computing node)</t>
  </si>
  <si>
    <t>Snakemake pipeline with the following steps:
1.- adapter trimming with bbduk (BBMap version 38.26)
2.- aligment with sentieon bwa-mem (sentieon version 202308.03)
    2.1.- substep alignment + sorting: sentieon bwa mem + sention util sort
    2.2.- substep mark duplicates: sentieon driver --algo LocusCollector + sentieon driver --algo Dedup
    2.3.- substep conversion bam to cram: samtools version 1.10
3.- variant calling with sentieon GATK implementation (sentieon version 202308.03):
    3.1.- substep sentieon driver --algo Haplotype (50 bins)
    3.2.- substep scatter gather to generate a single gVCF (gatk GatherVcfs)
    3.3.- substep sentieon driver --algo GVCFtyper to generate final VCF
The pipeline can be executed in multi-jobs mode (submission of paralell cluster jobs) or single-job mode (whole pipeline running in a single computing node)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</si>
</sst>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Arial"/>
    </font>
    <font>
      <b/>
      <color theme="1"/>
      <name val="Arial"/>
      <scheme val="minor"/>
    </font>
    <font>
      <color theme="1"/>
      <name val="Arial"/>
      <scheme val="minor"/>
    </font>
    <font>
      <sz val="12.0"/>
      <color rgb="FF000000"/>
      <name val="Arial"/>
    </font>
    <font>
      <i/>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2" numFmtId="0" xfId="0" applyAlignment="1" applyFont="1">
      <alignment horizontal="center" readingOrder="0" shrinkToFit="0" vertical="top" wrapText="1"/>
    </xf>
    <xf borderId="0" fillId="0" fontId="3" numFmtId="0" xfId="0" applyAlignment="1" applyFont="1">
      <alignment readingOrder="0"/>
    </xf>
    <xf borderId="0" fillId="0" fontId="4" numFmtId="0" xfId="0" applyAlignment="1" applyFont="1">
      <alignment horizontal="center" readingOrder="0" shrinkToFit="0" wrapText="1"/>
    </xf>
    <xf borderId="0" fillId="0" fontId="3" numFmtId="0" xfId="0" applyFont="1"/>
    <xf borderId="0" fillId="0" fontId="4" numFmtId="0" xfId="0" applyAlignment="1" applyFont="1">
      <alignment horizontal="left" readingOrder="0" shrinkToFit="0" wrapText="1"/>
    </xf>
    <xf borderId="0" fillId="0" fontId="3" numFmtId="0" xfId="0" applyAlignment="1" applyFont="1">
      <alignment horizontal="left" readingOrder="0" shrinkToFit="0" vertical="top" wrapText="1"/>
    </xf>
    <xf borderId="0" fillId="0" fontId="3" numFmtId="0" xfId="0" applyAlignment="1" applyFont="1">
      <alignment readingOrder="0" shrinkToFit="0" wrapText="1"/>
    </xf>
    <xf borderId="0" fillId="0" fontId="3" numFmtId="0" xfId="0" applyAlignment="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horizontal="center" readingOrder="0" shrinkToFit="0" vertical="top" wrapText="1"/>
    </xf>
    <xf borderId="0" fillId="0" fontId="3" numFmtId="0" xfId="0" applyAlignment="1" applyFont="1">
      <alignment horizontal="center" readingOrder="0"/>
    </xf>
    <xf borderId="0" fillId="0" fontId="3" numFmtId="0" xfId="0" applyAlignment="1" applyFont="1">
      <alignment horizontal="left" readingOrder="0"/>
    </xf>
    <xf borderId="0" fillId="0" fontId="3" numFmtId="0" xfId="0" applyAlignment="1" applyFont="1">
      <alignment horizontal="center"/>
    </xf>
    <xf borderId="0" fillId="0" fontId="3" numFmtId="0" xfId="0" applyAlignment="1" applyFont="1">
      <alignment horizontal="left"/>
    </xf>
    <xf borderId="0" fillId="0" fontId="3" numFmtId="2" xfId="0" applyFont="1" applyNumberFormat="1"/>
    <xf borderId="0" fillId="0" fontId="2" numFmtId="0" xfId="0" applyAlignment="1" applyFont="1">
      <alignment readingOrder="0"/>
    </xf>
    <xf borderId="0" fillId="0" fontId="2" numFmtId="0" xfId="0" applyFont="1"/>
    <xf borderId="0" fillId="0" fontId="2" numFmtId="0" xfId="0" applyAlignment="1" applyFont="1">
      <alignment readingOrder="0" shrinkToFit="0" wrapText="1"/>
    </xf>
    <xf borderId="1" fillId="0" fontId="2" numFmtId="0" xfId="0" applyAlignment="1" applyBorder="1" applyFont="1">
      <alignment readingOrder="0"/>
    </xf>
    <xf borderId="0" fillId="0" fontId="5" numFmtId="0" xfId="0" applyAlignment="1" applyFont="1">
      <alignment readingOrder="0"/>
    </xf>
    <xf borderId="0" fillId="0" fontId="1"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c768021-4b04-458d-b52f-fd68c8cf87a6}">
    <Anchor>
      <Comment id="{6c80d2d0-6a03-43ad-9ec0-261a413e7369}"/>
    </Anchor>
    <History>
      <Event time="2026-02-16T12:04:17.00" id="{43181fdc-6fae-475d-8378-fc4857300fdc}">
        <Attribution userId="placeholder@email.com" userName="Frederik Bagger" userProvider="google-sheets"/>
        <Anchor>
          <Comment id="{6c80d2d0-6a03-43ad-9ec0-261a413e7369}"/>
        </Anchor>
        <Create/>
      </Event>
      <Event time="2026-02-16T12:04:17.00" id="{11b461e4-bab0-47ea-8368-5b46c96d1f41}">
        <Attribution userId="placeholder@email.com" userName="Frederik Bagger" userProvider="google-sheets"/>
        <Anchor>
          <Comment id="{6c80d2d0-6a03-43ad-9ec0-261a413e7369}"/>
        </Anchor>
        <Assign userId="martin.thomsen@dcai.dk" userName="martin.thomsen@dcai.dk"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tin.thomsen@dcai.dk" id="{5f3b0571-3372-4c42-9c67-3a43a3d42445}" userId="martin.thomsen@dcai.dk" providerId="google-sheets"/>
  <x18tc:person displayName="Martin Thomsen" id="{43f83ac3-3f0d-439e-a08e-173027156c8a}" providerId="google-sheets"/>
  <x18tc:person displayName="Frederik Bagger" id="{f04a07cc-1a85-43bd-9b5e-339ffa13d65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1" dT="2026-02-16T13:27:01.00" personId="{43f83ac3-3f0d-439e-a08e-173027156c8a}" id="{106e718e-ea7c-4f9e-87e5-1cf55f7c802a}" done="0">
    <x18tc:text xml:space="preserve">How about we rather make a infrastructure description and refer to the infrastructure used?</x18tc:text>
  </x18tc:threadedComment>
  <x18tc:threadedComment ref="O6" dT="2026-02-16T13:29:15.00" personId="{43f83ac3-3f0d-439e-a08e-173027156c8a}" id="{b549c91e-bf61-49c0-8218-3b03253bdba9}" done="0">
    <x18tc:text xml:space="preserve">We can put this here, but it does not really match the requirement. 
There are not really a specific structural requirement for H100 here, but i think you need NVIDIA hardware and a license to run parabricks.</x18tc:text>
  </x18tc:threadedComment>
  <x18tc:threadedComment ref="O6" dT="2026-02-16T13:30:31.00" personId="{43f83ac3-3f0d-439e-a08e-173027156c8a}" id="{4da87dc9-0798-4af2-a325-e75cae948974}" parentId="{b549c91e-bf61-49c0-8218-3b03253bdba9}">
    <x18tc:text xml:space="preserve">However, I'm not updated on the actual requirements here, NVIDIA would be better to answer such requirements to use their software.</x18tc:text>
  </x18tc:threadedComment>
  <x18tc:threadedComment ref="O6" dT="2026-02-16T12:04:17.00" personId="{f04a07cc-1a85-43bd-9b5e-339ffa13d65e}" id="{6c80d2d0-6a03-43ad-9ec0-261a413e7369}" done="1">
    <x18tc:text xml:space="preserve">@martin.thomsen@dcai.dk
Assigned to martin.thomsen@dcai.dk</x18tc:text>
    <x18tc:mentions>
      <x18tc:mention mentionpersonId="{5f3b0571-3372-4c42-9c67-3a43a3d42445}" mentionId="{e85b52bc-a84b-460d-bab5-d1cfb606c36f}"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
    <col customWidth="1" min="4" max="4" width="80.0"/>
    <col customWidth="1" min="5" max="5" width="58.63"/>
    <col customWidth="1" min="6" max="6" width="7.25"/>
    <col customWidth="1" min="7" max="7" width="5.5"/>
    <col customWidth="1" min="9" max="9" width="14.13"/>
    <col customWidth="1" min="11" max="11" width="41.0"/>
    <col customWidth="1" min="12" max="12" width="38.75"/>
    <col customWidth="1" min="15" max="15" width="53.38"/>
  </cols>
  <sheetData>
    <row r="1" ht="39.75" customHeight="1">
      <c r="A1" s="1" t="s">
        <v>0</v>
      </c>
      <c r="B1" s="1" t="s">
        <v>1</v>
      </c>
      <c r="C1" s="1" t="s">
        <v>2</v>
      </c>
      <c r="D1" s="2" t="s">
        <v>3</v>
      </c>
      <c r="E1" s="1"/>
      <c r="F1" s="1" t="s">
        <v>4</v>
      </c>
      <c r="G1" s="3" t="s">
        <v>5</v>
      </c>
      <c r="H1" s="4" t="s">
        <v>6</v>
      </c>
      <c r="I1" s="4" t="s">
        <v>7</v>
      </c>
      <c r="J1" s="4" t="s">
        <v>8</v>
      </c>
      <c r="K1" s="4" t="s">
        <v>9</v>
      </c>
      <c r="L1" s="4" t="s">
        <v>10</v>
      </c>
      <c r="M1" s="4" t="s">
        <v>11</v>
      </c>
      <c r="N1" s="4" t="s">
        <v>12</v>
      </c>
      <c r="O1" s="4" t="s">
        <v>13</v>
      </c>
    </row>
    <row r="2">
      <c r="A2" s="3">
        <v>1.0</v>
      </c>
      <c r="B2" s="1" t="s">
        <v>14</v>
      </c>
      <c r="C2" s="1" t="s">
        <v>15</v>
      </c>
      <c r="D2" s="2" t="s">
        <v>16</v>
      </c>
      <c r="E2" s="1"/>
      <c r="F2" s="1">
        <v>5.7</v>
      </c>
      <c r="G2" s="1" t="s">
        <v>17</v>
      </c>
      <c r="H2" s="4" t="s">
        <v>18</v>
      </c>
      <c r="I2" s="4" t="s">
        <v>19</v>
      </c>
      <c r="J2" s="4"/>
      <c r="K2" s="4" t="s">
        <v>19</v>
      </c>
      <c r="L2" s="4">
        <v>0.0</v>
      </c>
      <c r="M2" s="4" t="s">
        <v>20</v>
      </c>
      <c r="O2" s="4" t="s">
        <v>21</v>
      </c>
    </row>
    <row r="3">
      <c r="A3" s="3">
        <v>2.0</v>
      </c>
      <c r="B3" s="1" t="s">
        <v>14</v>
      </c>
      <c r="C3" s="1" t="s">
        <v>15</v>
      </c>
      <c r="D3" s="2" t="s">
        <v>16</v>
      </c>
      <c r="E3" s="1"/>
      <c r="F3" s="1">
        <v>5.7</v>
      </c>
      <c r="G3" s="1" t="s">
        <v>17</v>
      </c>
      <c r="H3" s="4" t="s">
        <v>22</v>
      </c>
      <c r="I3" s="4" t="s">
        <v>19</v>
      </c>
      <c r="J3" s="4"/>
      <c r="K3" s="4" t="s">
        <v>19</v>
      </c>
      <c r="L3" s="4">
        <v>0.0</v>
      </c>
      <c r="O3" s="4" t="s">
        <v>23</v>
      </c>
    </row>
    <row r="4">
      <c r="A4" s="3">
        <v>3.0</v>
      </c>
      <c r="B4" s="5" t="s">
        <v>14</v>
      </c>
      <c r="C4" s="1" t="s">
        <v>15</v>
      </c>
      <c r="D4" s="2" t="s">
        <v>24</v>
      </c>
      <c r="E4" s="5"/>
      <c r="F4" s="1">
        <v>5.7</v>
      </c>
      <c r="G4" s="5" t="s">
        <v>17</v>
      </c>
      <c r="H4" s="4" t="s">
        <v>18</v>
      </c>
      <c r="I4" s="6">
        <f>runtime!D11</f>
        <v>99898</v>
      </c>
      <c r="J4" s="4"/>
      <c r="K4" s="4" t="s">
        <v>19</v>
      </c>
      <c r="L4" s="4">
        <v>0.0</v>
      </c>
      <c r="O4" s="4" t="s">
        <v>25</v>
      </c>
    </row>
    <row r="5">
      <c r="A5" s="3">
        <v>4.0</v>
      </c>
      <c r="B5" s="5" t="s">
        <v>14</v>
      </c>
      <c r="C5" s="1" t="s">
        <v>15</v>
      </c>
      <c r="D5" s="2" t="s">
        <v>24</v>
      </c>
      <c r="E5" s="5"/>
      <c r="F5" s="1">
        <v>5.7</v>
      </c>
      <c r="G5" s="5" t="s">
        <v>17</v>
      </c>
      <c r="H5" s="4" t="s">
        <v>22</v>
      </c>
      <c r="I5" s="6">
        <f>runtime!E11</f>
        <v>86271</v>
      </c>
      <c r="J5" s="4"/>
      <c r="K5" s="4" t="s">
        <v>19</v>
      </c>
      <c r="L5" s="4">
        <v>0.0</v>
      </c>
      <c r="O5" s="4" t="s">
        <v>26</v>
      </c>
    </row>
    <row r="6">
      <c r="A6" s="3">
        <v>5.0</v>
      </c>
      <c r="B6" s="5" t="s">
        <v>27</v>
      </c>
      <c r="C6" s="5" t="s">
        <v>28</v>
      </c>
      <c r="D6" s="7" t="s">
        <v>29</v>
      </c>
      <c r="E6" s="7" t="s">
        <v>30</v>
      </c>
      <c r="F6" s="3" t="s">
        <v>31</v>
      </c>
      <c r="G6" s="5" t="s">
        <v>17</v>
      </c>
      <c r="H6" s="4" t="s">
        <v>32</v>
      </c>
      <c r="I6" s="4">
        <v>1576.0</v>
      </c>
      <c r="J6" s="4">
        <v>2.92</v>
      </c>
      <c r="K6" s="4" t="s">
        <v>33</v>
      </c>
      <c r="L6" s="4" t="s">
        <v>34</v>
      </c>
      <c r="M6" s="4">
        <v>112.0</v>
      </c>
      <c r="N6" s="4">
        <v>2000.0</v>
      </c>
      <c r="O6" s="4" t="s">
        <v>35</v>
      </c>
    </row>
    <row r="7">
      <c r="A7" s="3">
        <v>6.0</v>
      </c>
      <c r="B7" s="5" t="s">
        <v>27</v>
      </c>
      <c r="C7" s="5" t="s">
        <v>28</v>
      </c>
      <c r="D7" s="7" t="s">
        <v>36</v>
      </c>
      <c r="E7" s="7" t="s">
        <v>37</v>
      </c>
      <c r="F7" s="3" t="s">
        <v>31</v>
      </c>
      <c r="G7" s="5" t="s">
        <v>17</v>
      </c>
      <c r="H7" s="4" t="s">
        <v>32</v>
      </c>
      <c r="I7" s="4">
        <v>1443.0</v>
      </c>
      <c r="J7" s="4">
        <v>2.69</v>
      </c>
      <c r="K7" s="4" t="s">
        <v>38</v>
      </c>
      <c r="L7" s="4" t="s">
        <v>39</v>
      </c>
      <c r="M7" s="4">
        <v>112.0</v>
      </c>
      <c r="N7" s="4">
        <v>2000.0</v>
      </c>
      <c r="O7" s="4" t="s">
        <v>35</v>
      </c>
    </row>
    <row r="8">
      <c r="A8" s="3">
        <v>7.0</v>
      </c>
      <c r="B8" s="5" t="s">
        <v>27</v>
      </c>
      <c r="C8" s="5" t="s">
        <v>28</v>
      </c>
      <c r="D8" s="4" t="s">
        <v>40</v>
      </c>
      <c r="E8" s="7" t="s">
        <v>41</v>
      </c>
      <c r="F8" s="8" t="s">
        <v>42</v>
      </c>
      <c r="G8" s="7" t="s">
        <v>17</v>
      </c>
      <c r="H8" s="4" t="s">
        <v>18</v>
      </c>
      <c r="I8" s="4" t="s">
        <v>43</v>
      </c>
      <c r="J8" s="4">
        <v>22.39</v>
      </c>
      <c r="K8" s="4">
        <v>2278.3</v>
      </c>
      <c r="L8" s="9" t="s">
        <v>44</v>
      </c>
      <c r="M8" s="4">
        <v>112.0</v>
      </c>
      <c r="N8" s="4">
        <v>2000.0</v>
      </c>
    </row>
    <row r="9">
      <c r="A9" s="3"/>
      <c r="B9" s="5" t="s">
        <v>27</v>
      </c>
      <c r="C9" s="5" t="s">
        <v>28</v>
      </c>
      <c r="D9" s="4" t="s">
        <v>45</v>
      </c>
      <c r="E9" s="7" t="s">
        <v>46</v>
      </c>
      <c r="F9" s="8" t="s">
        <v>42</v>
      </c>
      <c r="G9" s="7" t="s">
        <v>17</v>
      </c>
      <c r="H9" s="4" t="s">
        <v>18</v>
      </c>
      <c r="I9" s="4" t="s">
        <v>47</v>
      </c>
      <c r="J9" s="4">
        <v>19.72</v>
      </c>
      <c r="K9" s="4">
        <v>2362.7</v>
      </c>
      <c r="L9" s="9" t="s">
        <v>44</v>
      </c>
      <c r="M9" s="4">
        <v>112.0</v>
      </c>
      <c r="N9" s="4">
        <v>2000.0</v>
      </c>
    </row>
    <row r="10">
      <c r="A10" s="3"/>
      <c r="B10" s="5" t="s">
        <v>27</v>
      </c>
      <c r="C10" s="5" t="s">
        <v>28</v>
      </c>
      <c r="D10" s="4" t="s">
        <v>48</v>
      </c>
      <c r="E10" s="7" t="s">
        <v>49</v>
      </c>
      <c r="F10" s="8" t="s">
        <v>42</v>
      </c>
      <c r="G10" s="7" t="s">
        <v>17</v>
      </c>
      <c r="H10" s="4" t="s">
        <v>18</v>
      </c>
      <c r="I10" s="4" t="s">
        <v>50</v>
      </c>
      <c r="J10" s="4">
        <v>22.78</v>
      </c>
      <c r="K10" s="4">
        <v>2847.1</v>
      </c>
      <c r="L10" s="9" t="s">
        <v>44</v>
      </c>
      <c r="M10" s="4">
        <v>112.0</v>
      </c>
      <c r="N10" s="4">
        <v>2000.0</v>
      </c>
    </row>
    <row r="11">
      <c r="A11" s="3"/>
      <c r="B11" s="5" t="s">
        <v>27</v>
      </c>
      <c r="C11" s="5" t="s">
        <v>28</v>
      </c>
      <c r="D11" s="4" t="s">
        <v>51</v>
      </c>
      <c r="E11" s="7" t="s">
        <v>52</v>
      </c>
      <c r="F11" s="8" t="s">
        <v>42</v>
      </c>
      <c r="G11" s="7" t="s">
        <v>17</v>
      </c>
      <c r="H11" s="4" t="s">
        <v>18</v>
      </c>
      <c r="I11" s="4" t="s">
        <v>53</v>
      </c>
      <c r="J11" s="4">
        <v>20.47</v>
      </c>
      <c r="K11" s="4">
        <v>2263.8</v>
      </c>
      <c r="L11" s="9" t="s">
        <v>44</v>
      </c>
      <c r="M11" s="4">
        <v>112.0</v>
      </c>
      <c r="N11" s="4">
        <v>2000.0</v>
      </c>
    </row>
    <row r="12">
      <c r="A12" s="3"/>
      <c r="B12" s="5" t="s">
        <v>27</v>
      </c>
      <c r="C12" s="5" t="s">
        <v>28</v>
      </c>
      <c r="D12" s="4" t="s">
        <v>54</v>
      </c>
      <c r="E12" s="7" t="s">
        <v>55</v>
      </c>
      <c r="F12" s="8" t="s">
        <v>42</v>
      </c>
      <c r="G12" s="7" t="s">
        <v>17</v>
      </c>
      <c r="H12" s="4" t="s">
        <v>18</v>
      </c>
      <c r="I12" s="4" t="s">
        <v>56</v>
      </c>
      <c r="J12" s="4">
        <v>22.21</v>
      </c>
      <c r="K12" s="4">
        <v>1348.0</v>
      </c>
      <c r="L12" s="4">
        <v>0.0</v>
      </c>
      <c r="M12" s="4">
        <v>96.0</v>
      </c>
      <c r="N12" s="4">
        <v>768.0</v>
      </c>
    </row>
    <row r="13">
      <c r="A13" s="3"/>
      <c r="B13" s="5" t="s">
        <v>27</v>
      </c>
      <c r="C13" s="5" t="s">
        <v>28</v>
      </c>
      <c r="D13" s="4" t="s">
        <v>57</v>
      </c>
      <c r="E13" s="7" t="s">
        <v>58</v>
      </c>
      <c r="F13" s="8" t="s">
        <v>42</v>
      </c>
      <c r="G13" s="7" t="s">
        <v>17</v>
      </c>
      <c r="H13" s="4" t="s">
        <v>18</v>
      </c>
      <c r="I13" s="4" t="s">
        <v>59</v>
      </c>
      <c r="J13" s="4">
        <v>22.48</v>
      </c>
      <c r="K13" s="4">
        <v>1451.1</v>
      </c>
      <c r="L13" s="4">
        <v>0.0</v>
      </c>
      <c r="M13" s="4">
        <v>96.0</v>
      </c>
      <c r="N13" s="4">
        <v>768.0</v>
      </c>
    </row>
    <row r="14">
      <c r="A14" s="3"/>
      <c r="B14" s="5" t="s">
        <v>27</v>
      </c>
      <c r="C14" s="5" t="s">
        <v>28</v>
      </c>
      <c r="D14" s="4" t="s">
        <v>60</v>
      </c>
      <c r="E14" s="7" t="s">
        <v>61</v>
      </c>
      <c r="F14" s="8" t="s">
        <v>42</v>
      </c>
      <c r="G14" s="7" t="s">
        <v>17</v>
      </c>
      <c r="H14" s="4" t="s">
        <v>18</v>
      </c>
      <c r="I14" s="4" t="s">
        <v>62</v>
      </c>
      <c r="J14" s="4">
        <v>18.39</v>
      </c>
      <c r="K14" s="4">
        <v>2179.4</v>
      </c>
      <c r="L14" s="4" t="s">
        <v>63</v>
      </c>
      <c r="M14" s="4">
        <v>112.0</v>
      </c>
      <c r="N14" s="4">
        <v>2000.0</v>
      </c>
      <c r="O14" s="4" t="s">
        <v>64</v>
      </c>
    </row>
    <row r="15">
      <c r="A15" s="3">
        <v>8.0</v>
      </c>
      <c r="B15" s="5" t="s">
        <v>65</v>
      </c>
      <c r="C15" s="1" t="s">
        <v>15</v>
      </c>
      <c r="D15" s="7" t="s">
        <v>66</v>
      </c>
      <c r="E15" s="7"/>
      <c r="F15" s="7" t="s">
        <v>67</v>
      </c>
      <c r="G15" s="7" t="s">
        <v>17</v>
      </c>
    </row>
    <row r="16">
      <c r="A16" s="3">
        <v>9.0</v>
      </c>
      <c r="B16" s="5" t="s">
        <v>65</v>
      </c>
      <c r="C16" s="1" t="s">
        <v>15</v>
      </c>
      <c r="D16" s="7" t="s">
        <v>68</v>
      </c>
      <c r="E16" s="7"/>
      <c r="F16" s="7" t="s">
        <v>67</v>
      </c>
      <c r="G16" s="7" t="s">
        <v>17</v>
      </c>
    </row>
    <row r="17">
      <c r="A17" s="3">
        <v>10.0</v>
      </c>
      <c r="B17" s="5" t="s">
        <v>65</v>
      </c>
      <c r="C17" s="10"/>
      <c r="D17" s="7" t="s">
        <v>69</v>
      </c>
      <c r="E17" s="7"/>
      <c r="F17" s="11"/>
      <c r="G17" s="7" t="s">
        <v>17</v>
      </c>
    </row>
    <row r="18">
      <c r="A18" s="3">
        <v>11.0</v>
      </c>
      <c r="B18" s="5" t="s">
        <v>70</v>
      </c>
      <c r="C18" s="10"/>
      <c r="D18" s="7" t="s">
        <v>71</v>
      </c>
      <c r="E18" s="7"/>
      <c r="F18" s="11"/>
      <c r="G18" s="11"/>
    </row>
    <row r="19">
      <c r="A19" s="3">
        <v>12.0</v>
      </c>
      <c r="B19" s="1" t="s">
        <v>65</v>
      </c>
      <c r="C19" s="10"/>
      <c r="D19" s="2" t="s">
        <v>72</v>
      </c>
      <c r="E19" s="2"/>
      <c r="F19" s="11"/>
      <c r="G19" s="2" t="s">
        <v>17</v>
      </c>
    </row>
    <row r="20">
      <c r="A20" s="3">
        <v>13.0</v>
      </c>
      <c r="B20" s="12" t="s">
        <v>65</v>
      </c>
      <c r="C20" s="10"/>
      <c r="D20" s="8" t="s">
        <v>73</v>
      </c>
      <c r="E20" s="8"/>
      <c r="F20" s="11"/>
      <c r="G20" s="8" t="s">
        <v>74</v>
      </c>
    </row>
    <row r="21">
      <c r="A21" s="3">
        <v>14.0</v>
      </c>
      <c r="B21" s="13" t="s">
        <v>75</v>
      </c>
      <c r="C21" s="13" t="s">
        <v>76</v>
      </c>
      <c r="D21" s="14" t="s">
        <v>77</v>
      </c>
      <c r="F21" s="4" t="s">
        <v>78</v>
      </c>
      <c r="G21" s="4" t="s">
        <v>17</v>
      </c>
      <c r="I21" s="4">
        <v>25600.0</v>
      </c>
      <c r="O21" s="4" t="s">
        <v>79</v>
      </c>
    </row>
    <row r="22">
      <c r="A22" s="3">
        <v>15.0</v>
      </c>
      <c r="B22" s="15"/>
      <c r="C22" s="15"/>
      <c r="D22" s="16"/>
      <c r="I22" s="17">
        <f>runtime!B25</f>
        <v>601.1527778</v>
      </c>
    </row>
    <row r="23">
      <c r="A23" s="3">
        <v>16.0</v>
      </c>
      <c r="B23" s="15"/>
      <c r="C23" s="15"/>
      <c r="D23" s="16"/>
      <c r="I23" s="17">
        <f>runtime!C25</f>
        <v>617.8272222</v>
      </c>
    </row>
    <row r="24">
      <c r="A24" s="3">
        <v>17.0</v>
      </c>
      <c r="B24" s="15"/>
      <c r="C24" s="15"/>
      <c r="D24" s="16"/>
      <c r="I24" s="6" t="str">
        <f>runtime!B27</f>
        <v/>
      </c>
    </row>
    <row r="25">
      <c r="A25" s="3">
        <v>18.0</v>
      </c>
      <c r="B25" s="15"/>
      <c r="C25" s="15"/>
      <c r="D25" s="16"/>
      <c r="I25" s="6" t="str">
        <f>runtime!C27</f>
        <v/>
      </c>
    </row>
    <row r="26">
      <c r="A26" s="3">
        <v>19.0</v>
      </c>
      <c r="B26" s="15"/>
      <c r="C26" s="15"/>
      <c r="D26" s="16"/>
      <c r="I26" s="6" t="str">
        <f>runtime!B29</f>
        <v/>
      </c>
    </row>
    <row r="27">
      <c r="A27" s="3">
        <v>20.0</v>
      </c>
      <c r="B27" s="15"/>
      <c r="C27" s="15"/>
      <c r="D27" s="16"/>
      <c r="I27" s="6" t="str">
        <f>runtime!C29</f>
        <v/>
      </c>
    </row>
    <row r="28">
      <c r="A28" s="3">
        <v>21.0</v>
      </c>
      <c r="B28" s="15"/>
      <c r="C28" s="1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80</v>
      </c>
      <c r="B1" s="18"/>
      <c r="C1" s="18"/>
      <c r="D1" s="18"/>
      <c r="E1" s="18"/>
      <c r="F1" s="18"/>
      <c r="G1" s="18"/>
      <c r="H1" s="18"/>
      <c r="I1" s="18"/>
      <c r="J1" s="18"/>
      <c r="K1" s="18"/>
      <c r="L1" s="18"/>
      <c r="M1" s="18"/>
      <c r="N1" s="18"/>
      <c r="O1" s="18"/>
      <c r="P1" s="18"/>
      <c r="Q1" s="18"/>
      <c r="R1" s="18"/>
      <c r="S1" s="18"/>
      <c r="T1" s="18"/>
      <c r="U1" s="18"/>
      <c r="V1" s="19"/>
      <c r="W1" s="19"/>
      <c r="X1" s="19"/>
      <c r="Y1" s="19"/>
      <c r="Z1" s="19"/>
    </row>
    <row r="2">
      <c r="A2" s="18"/>
      <c r="B2" s="20" t="s">
        <v>81</v>
      </c>
      <c r="C2" s="20" t="s">
        <v>81</v>
      </c>
      <c r="D2" s="20" t="s">
        <v>81</v>
      </c>
      <c r="E2" s="20" t="s">
        <v>81</v>
      </c>
      <c r="F2" s="20" t="s">
        <v>82</v>
      </c>
      <c r="G2" s="20" t="s">
        <v>82</v>
      </c>
      <c r="H2" s="18"/>
      <c r="I2" s="18"/>
      <c r="J2" s="18"/>
      <c r="K2" s="18"/>
      <c r="L2" s="18"/>
      <c r="M2" s="18"/>
      <c r="N2" s="18"/>
      <c r="O2" s="18"/>
      <c r="P2" s="18"/>
      <c r="Q2" s="18"/>
      <c r="R2" s="18"/>
      <c r="S2" s="18"/>
      <c r="T2" s="18"/>
      <c r="U2" s="18"/>
      <c r="V2" s="19"/>
      <c r="W2" s="19"/>
      <c r="X2" s="19"/>
      <c r="Y2" s="19"/>
      <c r="Z2" s="19"/>
    </row>
    <row r="3">
      <c r="A3" s="21" t="s">
        <v>83</v>
      </c>
      <c r="B3" s="18">
        <v>1.0</v>
      </c>
      <c r="C3" s="18">
        <v>2.0</v>
      </c>
      <c r="D3" s="18">
        <v>3.0</v>
      </c>
      <c r="E3" s="18">
        <v>4.0</v>
      </c>
      <c r="F3" s="18">
        <v>5.0</v>
      </c>
      <c r="G3" s="18">
        <v>6.0</v>
      </c>
      <c r="H3" s="18">
        <v>7.0</v>
      </c>
      <c r="I3" s="18">
        <v>8.0</v>
      </c>
      <c r="J3" s="18">
        <v>9.0</v>
      </c>
      <c r="K3" s="18">
        <v>10.0</v>
      </c>
      <c r="L3" s="18">
        <v>11.0</v>
      </c>
      <c r="M3" s="18">
        <v>12.0</v>
      </c>
      <c r="N3" s="18">
        <v>13.0</v>
      </c>
      <c r="O3" s="18">
        <v>14.0</v>
      </c>
      <c r="P3" s="18">
        <v>15.0</v>
      </c>
      <c r="Q3" s="18">
        <v>16.0</v>
      </c>
      <c r="R3" s="18">
        <v>17.0</v>
      </c>
      <c r="S3" s="18">
        <v>18.0</v>
      </c>
      <c r="T3" s="18">
        <v>19.0</v>
      </c>
      <c r="U3" s="18">
        <v>20.0</v>
      </c>
      <c r="V3" s="19"/>
      <c r="W3" s="19"/>
      <c r="X3" s="19"/>
      <c r="Y3" s="19"/>
      <c r="Z3" s="19"/>
    </row>
    <row r="4">
      <c r="A4" s="22" t="s">
        <v>84</v>
      </c>
      <c r="B4" s="4">
        <v>15081.0</v>
      </c>
      <c r="C4" s="4">
        <v>14900.0</v>
      </c>
      <c r="D4" s="4">
        <v>12972.0</v>
      </c>
      <c r="E4" s="4">
        <v>11248.0</v>
      </c>
      <c r="F4" s="4">
        <v>1400.0</v>
      </c>
      <c r="G4" s="4">
        <v>1338.0</v>
      </c>
    </row>
    <row r="5">
      <c r="A5" s="22" t="s">
        <v>85</v>
      </c>
      <c r="B5" s="4">
        <v>16234.0</v>
      </c>
      <c r="C5" s="4">
        <v>14945.0</v>
      </c>
      <c r="D5" s="4">
        <v>13634.0</v>
      </c>
      <c r="E5" s="4">
        <v>11116.0</v>
      </c>
      <c r="F5" s="4">
        <v>1407.0</v>
      </c>
      <c r="G5" s="4">
        <v>1305.0</v>
      </c>
    </row>
    <row r="6">
      <c r="A6" s="22" t="s">
        <v>86</v>
      </c>
      <c r="B6" s="4">
        <v>17643.0</v>
      </c>
      <c r="C6" s="4">
        <v>16156.0</v>
      </c>
      <c r="D6" s="4">
        <v>15413.0</v>
      </c>
      <c r="E6" s="4">
        <v>13322.0</v>
      </c>
      <c r="F6" s="4">
        <v>1548.0</v>
      </c>
      <c r="G6" s="4">
        <v>1400.0</v>
      </c>
    </row>
    <row r="7">
      <c r="A7" s="22" t="s">
        <v>87</v>
      </c>
      <c r="B7" s="4">
        <v>18365.0</v>
      </c>
      <c r="C7" s="4">
        <v>17179.0</v>
      </c>
      <c r="D7" s="4">
        <v>14900.0</v>
      </c>
      <c r="E7" s="4">
        <v>12834.0</v>
      </c>
      <c r="F7" s="4">
        <v>1558.0</v>
      </c>
      <c r="G7" s="4">
        <v>1402.0</v>
      </c>
    </row>
    <row r="8">
      <c r="A8" s="22" t="s">
        <v>88</v>
      </c>
      <c r="B8" s="4">
        <v>16329.0</v>
      </c>
      <c r="C8" s="4">
        <v>15673.0</v>
      </c>
      <c r="D8" s="4">
        <v>14246.0</v>
      </c>
      <c r="E8" s="4">
        <v>12658.0</v>
      </c>
      <c r="F8" s="4">
        <v>1555.0</v>
      </c>
      <c r="G8" s="4">
        <v>1443.0</v>
      </c>
    </row>
    <row r="9">
      <c r="A9" s="22" t="s">
        <v>89</v>
      </c>
      <c r="B9" s="4">
        <v>20479.0</v>
      </c>
      <c r="C9" s="4">
        <v>17673.0</v>
      </c>
      <c r="D9" s="4">
        <v>15026.0</v>
      </c>
      <c r="E9" s="4">
        <v>13080.0</v>
      </c>
      <c r="F9" s="4">
        <v>1576.0</v>
      </c>
      <c r="G9" s="4">
        <v>1424.0</v>
      </c>
    </row>
    <row r="10">
      <c r="A10" s="22" t="s">
        <v>90</v>
      </c>
      <c r="B10" s="4">
        <v>18035.0</v>
      </c>
      <c r="C10" s="4">
        <v>15219.0</v>
      </c>
      <c r="D10" s="4">
        <v>13707.0</v>
      </c>
      <c r="E10" s="4">
        <v>12013.0</v>
      </c>
      <c r="F10" s="4">
        <v>1454.0</v>
      </c>
      <c r="G10" s="4">
        <v>1376.0</v>
      </c>
    </row>
    <row r="11">
      <c r="A11" s="18" t="s">
        <v>91</v>
      </c>
      <c r="B11" s="19">
        <f t="shared" ref="B11:U11" si="1">sum(B4:B10)</f>
        <v>122166</v>
      </c>
      <c r="C11" s="19">
        <f t="shared" si="1"/>
        <v>111745</v>
      </c>
      <c r="D11" s="19">
        <f t="shared" si="1"/>
        <v>99898</v>
      </c>
      <c r="E11" s="19">
        <f t="shared" si="1"/>
        <v>86271</v>
      </c>
      <c r="F11" s="19">
        <f t="shared" si="1"/>
        <v>10498</v>
      </c>
      <c r="G11" s="19">
        <f t="shared" si="1"/>
        <v>9688</v>
      </c>
      <c r="H11" s="19">
        <f t="shared" si="1"/>
        <v>0</v>
      </c>
      <c r="I11" s="19">
        <f t="shared" si="1"/>
        <v>0</v>
      </c>
      <c r="J11" s="19">
        <f t="shared" si="1"/>
        <v>0</v>
      </c>
      <c r="K11" s="19">
        <f t="shared" si="1"/>
        <v>0</v>
      </c>
      <c r="L11" s="19">
        <f t="shared" si="1"/>
        <v>0</v>
      </c>
      <c r="M11" s="19">
        <f t="shared" si="1"/>
        <v>0</v>
      </c>
      <c r="N11" s="19">
        <f t="shared" si="1"/>
        <v>0</v>
      </c>
      <c r="O11" s="19">
        <f t="shared" si="1"/>
        <v>0</v>
      </c>
      <c r="P11" s="19">
        <f t="shared" si="1"/>
        <v>0</v>
      </c>
      <c r="Q11" s="19">
        <f t="shared" si="1"/>
        <v>0</v>
      </c>
      <c r="R11" s="19">
        <f t="shared" si="1"/>
        <v>0</v>
      </c>
      <c r="S11" s="19">
        <f t="shared" si="1"/>
        <v>0</v>
      </c>
      <c r="T11" s="19">
        <f t="shared" si="1"/>
        <v>0</v>
      </c>
      <c r="U11" s="19">
        <f t="shared" si="1"/>
        <v>0</v>
      </c>
      <c r="V11" s="19"/>
      <c r="W11" s="19"/>
      <c r="X11" s="19"/>
      <c r="Y11" s="19"/>
      <c r="Z11" s="19"/>
    </row>
    <row r="12">
      <c r="A12" s="18" t="s">
        <v>92</v>
      </c>
      <c r="B12" s="17">
        <f t="shared" ref="B12:G12" si="2">B11/3600</f>
        <v>33.935</v>
      </c>
      <c r="C12" s="17">
        <f t="shared" si="2"/>
        <v>31.04027778</v>
      </c>
      <c r="D12" s="17">
        <f t="shared" si="2"/>
        <v>27.74944444</v>
      </c>
      <c r="E12" s="17">
        <f t="shared" si="2"/>
        <v>23.96416667</v>
      </c>
      <c r="F12" s="17">
        <f t="shared" si="2"/>
        <v>2.916111111</v>
      </c>
      <c r="G12" s="17">
        <f t="shared" si="2"/>
        <v>2.691111111</v>
      </c>
    </row>
    <row r="14">
      <c r="A14" s="18" t="s">
        <v>93</v>
      </c>
      <c r="B14" s="18"/>
      <c r="C14" s="18"/>
      <c r="D14" s="18"/>
      <c r="E14" s="18"/>
      <c r="F14" s="18"/>
      <c r="G14" s="18"/>
      <c r="H14" s="18"/>
      <c r="I14" s="18"/>
      <c r="J14" s="18"/>
      <c r="K14" s="18"/>
      <c r="L14" s="18"/>
      <c r="M14" s="18"/>
      <c r="N14" s="18"/>
      <c r="O14" s="18"/>
      <c r="P14" s="18"/>
      <c r="Q14" s="18"/>
      <c r="R14" s="18"/>
      <c r="S14" s="18"/>
      <c r="T14" s="18"/>
      <c r="U14" s="18"/>
      <c r="V14" s="19"/>
      <c r="W14" s="19"/>
      <c r="X14" s="19"/>
      <c r="Y14" s="19"/>
      <c r="Z14" s="19"/>
    </row>
    <row r="15">
      <c r="A15" s="18"/>
      <c r="B15" s="20" t="s">
        <v>94</v>
      </c>
      <c r="C15" s="20" t="s">
        <v>95</v>
      </c>
      <c r="D15" s="20" t="s">
        <v>94</v>
      </c>
      <c r="E15" s="20" t="s">
        <v>95</v>
      </c>
      <c r="F15" s="20" t="s">
        <v>96</v>
      </c>
      <c r="G15" s="20" t="s">
        <v>96</v>
      </c>
      <c r="H15" s="18"/>
      <c r="I15" s="18"/>
      <c r="J15" s="18"/>
      <c r="K15" s="18"/>
      <c r="L15" s="18"/>
      <c r="M15" s="18"/>
      <c r="N15" s="18"/>
      <c r="O15" s="18"/>
      <c r="P15" s="18"/>
      <c r="Q15" s="18"/>
      <c r="R15" s="18"/>
      <c r="S15" s="18"/>
      <c r="T15" s="18"/>
      <c r="U15" s="18"/>
      <c r="V15" s="19"/>
      <c r="W15" s="19"/>
      <c r="X15" s="19"/>
      <c r="Y15" s="19"/>
      <c r="Z15" s="19"/>
    </row>
    <row r="16">
      <c r="A16" s="18" t="s">
        <v>97</v>
      </c>
      <c r="B16" s="18">
        <v>1.0</v>
      </c>
      <c r="C16" s="18">
        <v>2.0</v>
      </c>
      <c r="D16" s="18">
        <v>3.0</v>
      </c>
      <c r="E16" s="18">
        <v>4.0</v>
      </c>
      <c r="F16" s="18">
        <v>5.0</v>
      </c>
      <c r="G16" s="18">
        <v>6.0</v>
      </c>
      <c r="H16" s="18">
        <v>7.0</v>
      </c>
      <c r="I16" s="18">
        <v>8.0</v>
      </c>
      <c r="J16" s="18">
        <v>9.0</v>
      </c>
      <c r="K16" s="18">
        <v>10.0</v>
      </c>
      <c r="L16" s="18">
        <v>11.0</v>
      </c>
      <c r="M16" s="18">
        <v>12.0</v>
      </c>
      <c r="N16" s="18">
        <v>13.0</v>
      </c>
      <c r="O16" s="18">
        <v>14.0</v>
      </c>
      <c r="P16" s="18">
        <v>15.0</v>
      </c>
      <c r="Q16" s="18">
        <v>16.0</v>
      </c>
      <c r="R16" s="18">
        <v>17.0</v>
      </c>
      <c r="S16" s="18">
        <v>18.0</v>
      </c>
      <c r="T16" s="18">
        <v>19.0</v>
      </c>
      <c r="U16" s="18">
        <v>20.0</v>
      </c>
      <c r="V16" s="19"/>
      <c r="W16" s="19"/>
      <c r="X16" s="19"/>
      <c r="Y16" s="19"/>
      <c r="Z16" s="19"/>
    </row>
    <row r="17">
      <c r="A17" s="22" t="s">
        <v>84</v>
      </c>
      <c r="B17" s="4">
        <v>281075.0</v>
      </c>
      <c r="C17" s="4">
        <v>305476.0</v>
      </c>
      <c r="D17" s="4">
        <v>179035.0</v>
      </c>
      <c r="E17" s="4">
        <v>164462.0</v>
      </c>
      <c r="F17" s="6">
        <f t="shared" ref="F17:G17" si="3">F4*112</f>
        <v>156800</v>
      </c>
      <c r="G17" s="6">
        <f t="shared" si="3"/>
        <v>149856</v>
      </c>
    </row>
    <row r="18">
      <c r="A18" s="22" t="s">
        <v>85</v>
      </c>
      <c r="B18" s="4">
        <v>285880.0</v>
      </c>
      <c r="C18" s="4">
        <v>301987.0</v>
      </c>
      <c r="D18" s="4">
        <v>171494.0</v>
      </c>
      <c r="E18" s="4">
        <v>162729.0</v>
      </c>
      <c r="F18" s="6">
        <f t="shared" ref="F18:G18" si="4">F5*112</f>
        <v>157584</v>
      </c>
      <c r="G18" s="6">
        <f t="shared" si="4"/>
        <v>146160</v>
      </c>
    </row>
    <row r="19">
      <c r="A19" s="22" t="s">
        <v>86</v>
      </c>
      <c r="B19" s="4">
        <v>315910.0</v>
      </c>
      <c r="C19" s="4">
        <v>319264.0</v>
      </c>
      <c r="D19" s="4">
        <v>198628.0</v>
      </c>
      <c r="E19" s="4">
        <v>188264.0</v>
      </c>
      <c r="F19" s="6">
        <f t="shared" ref="F19:G19" si="5">F6*112</f>
        <v>173376</v>
      </c>
      <c r="G19" s="6">
        <f t="shared" si="5"/>
        <v>156800</v>
      </c>
    </row>
    <row r="20">
      <c r="A20" s="22" t="s">
        <v>87</v>
      </c>
      <c r="B20" s="4">
        <v>319270.0</v>
      </c>
      <c r="C20" s="4">
        <v>339135.0</v>
      </c>
      <c r="D20" s="4">
        <v>196930.0</v>
      </c>
      <c r="E20" s="4">
        <v>179461.0</v>
      </c>
      <c r="F20" s="6">
        <f t="shared" ref="F20:G20" si="6">F7*112</f>
        <v>174496</v>
      </c>
      <c r="G20" s="6">
        <f t="shared" si="6"/>
        <v>157024</v>
      </c>
    </row>
    <row r="21">
      <c r="A21" s="22" t="s">
        <v>88</v>
      </c>
      <c r="B21" s="4">
        <v>325697.0</v>
      </c>
      <c r="C21" s="4">
        <v>331098.0</v>
      </c>
      <c r="D21" s="4">
        <v>197103.0</v>
      </c>
      <c r="E21" s="4">
        <v>187002.0</v>
      </c>
      <c r="F21" s="6">
        <f t="shared" ref="F21:G21" si="7">F8*112</f>
        <v>174160</v>
      </c>
      <c r="G21" s="6">
        <f t="shared" si="7"/>
        <v>161616</v>
      </c>
    </row>
    <row r="22">
      <c r="A22" s="22" t="s">
        <v>89</v>
      </c>
      <c r="B22" s="4">
        <v>326899.0</v>
      </c>
      <c r="C22" s="4">
        <v>314180.0</v>
      </c>
      <c r="D22" s="4">
        <v>208579.0</v>
      </c>
      <c r="E22" s="4">
        <v>189282.0</v>
      </c>
      <c r="F22" s="6">
        <f t="shared" ref="F22:G22" si="8">F9*112</f>
        <v>176512</v>
      </c>
      <c r="G22" s="6">
        <f t="shared" si="8"/>
        <v>159488</v>
      </c>
    </row>
    <row r="23">
      <c r="A23" s="22" t="s">
        <v>90</v>
      </c>
      <c r="B23" s="4">
        <v>309419.0</v>
      </c>
      <c r="C23" s="4">
        <v>313038.0</v>
      </c>
      <c r="D23" s="4">
        <v>187236.0</v>
      </c>
      <c r="E23" s="4">
        <v>178579.0</v>
      </c>
      <c r="F23" s="6">
        <f t="shared" ref="F23:G23" si="9">F10*112</f>
        <v>162848</v>
      </c>
      <c r="G23" s="6">
        <f t="shared" si="9"/>
        <v>154112</v>
      </c>
    </row>
    <row r="24">
      <c r="A24" s="18" t="s">
        <v>91</v>
      </c>
      <c r="B24" s="19">
        <f t="shared" ref="B24:U24" si="10">sum(B17:B23)</f>
        <v>2164150</v>
      </c>
      <c r="C24" s="19">
        <f t="shared" si="10"/>
        <v>2224178</v>
      </c>
      <c r="D24" s="19">
        <f t="shared" si="10"/>
        <v>1339005</v>
      </c>
      <c r="E24" s="19">
        <f t="shared" si="10"/>
        <v>1249779</v>
      </c>
      <c r="F24" s="19">
        <f t="shared" si="10"/>
        <v>1175776</v>
      </c>
      <c r="G24" s="19">
        <f t="shared" si="10"/>
        <v>1085056</v>
      </c>
      <c r="H24" s="19">
        <f t="shared" si="10"/>
        <v>0</v>
      </c>
      <c r="I24" s="19">
        <f t="shared" si="10"/>
        <v>0</v>
      </c>
      <c r="J24" s="19">
        <f t="shared" si="10"/>
        <v>0</v>
      </c>
      <c r="K24" s="19">
        <f t="shared" si="10"/>
        <v>0</v>
      </c>
      <c r="L24" s="19">
        <f t="shared" si="10"/>
        <v>0</v>
      </c>
      <c r="M24" s="19">
        <f t="shared" si="10"/>
        <v>0</v>
      </c>
      <c r="N24" s="19">
        <f t="shared" si="10"/>
        <v>0</v>
      </c>
      <c r="O24" s="19">
        <f t="shared" si="10"/>
        <v>0</v>
      </c>
      <c r="P24" s="19">
        <f t="shared" si="10"/>
        <v>0</v>
      </c>
      <c r="Q24" s="19">
        <f t="shared" si="10"/>
        <v>0</v>
      </c>
      <c r="R24" s="19">
        <f t="shared" si="10"/>
        <v>0</v>
      </c>
      <c r="S24" s="19">
        <f t="shared" si="10"/>
        <v>0</v>
      </c>
      <c r="T24" s="19">
        <f t="shared" si="10"/>
        <v>0</v>
      </c>
      <c r="U24" s="19">
        <f t="shared" si="10"/>
        <v>0</v>
      </c>
      <c r="V24" s="19"/>
      <c r="W24" s="19"/>
      <c r="X24" s="19"/>
      <c r="Y24" s="19"/>
      <c r="Z24" s="19"/>
    </row>
    <row r="25">
      <c r="A25" s="18" t="s">
        <v>92</v>
      </c>
      <c r="B25" s="17">
        <f t="shared" ref="B25:G25" si="11">B24/3600</f>
        <v>601.1527778</v>
      </c>
      <c r="C25" s="17">
        <f t="shared" si="11"/>
        <v>617.8272222</v>
      </c>
      <c r="D25" s="17">
        <f t="shared" si="11"/>
        <v>371.9458333</v>
      </c>
      <c r="E25" s="17">
        <f t="shared" si="11"/>
        <v>347.1608333</v>
      </c>
      <c r="F25" s="17">
        <f t="shared" si="11"/>
        <v>326.6044444</v>
      </c>
      <c r="G25" s="17">
        <f t="shared" si="11"/>
        <v>301.4044444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4.0"/>
  </cols>
  <sheetData>
    <row r="2">
      <c r="A2" s="4" t="s">
        <v>98</v>
      </c>
      <c r="B2" s="4" t="s">
        <v>99</v>
      </c>
      <c r="C2" s="4" t="s">
        <v>100</v>
      </c>
      <c r="D2" s="4" t="s">
        <v>101</v>
      </c>
      <c r="E2" s="4" t="s">
        <v>102</v>
      </c>
      <c r="F2" s="4" t="s">
        <v>103</v>
      </c>
    </row>
    <row r="3">
      <c r="A3" s="4" t="s">
        <v>104</v>
      </c>
      <c r="B3" s="4">
        <v>112.0</v>
      </c>
      <c r="C3" s="4">
        <v>8.0</v>
      </c>
      <c r="D3" s="4" t="s">
        <v>105</v>
      </c>
    </row>
    <row r="4">
      <c r="A4" s="4" t="s">
        <v>106</v>
      </c>
      <c r="B4" s="4">
        <v>96.0</v>
      </c>
      <c r="C4" s="4">
        <v>0.0</v>
      </c>
      <c r="D4" s="4" t="s">
        <v>107</v>
      </c>
    </row>
    <row r="5">
      <c r="A5" s="4" t="s">
        <v>108</v>
      </c>
    </row>
    <row r="6">
      <c r="A6" s="4" t="s">
        <v>109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 customWidth="1" min="2" max="2" width="119.38"/>
  </cols>
  <sheetData>
    <row r="1">
      <c r="A1" s="18" t="s">
        <v>110</v>
      </c>
      <c r="B1" s="18" t="s">
        <v>111</v>
      </c>
      <c r="C1" s="19"/>
      <c r="D1" s="19"/>
      <c r="E1" s="19"/>
      <c r="F1" s="19"/>
      <c r="G1" s="19"/>
      <c r="H1" s="19"/>
      <c r="I1" s="19"/>
      <c r="J1" s="19"/>
      <c r="K1" s="19"/>
      <c r="L1" s="19"/>
      <c r="M1" s="19"/>
      <c r="N1" s="19"/>
      <c r="O1" s="19"/>
      <c r="P1" s="19"/>
      <c r="Q1" s="19"/>
      <c r="R1" s="19"/>
      <c r="S1" s="19"/>
      <c r="T1" s="19"/>
      <c r="U1" s="19"/>
      <c r="V1" s="19"/>
      <c r="W1" s="19"/>
      <c r="X1" s="19"/>
      <c r="Y1" s="19"/>
      <c r="Z1" s="19"/>
    </row>
    <row r="2">
      <c r="A2" s="23" t="s">
        <v>16</v>
      </c>
      <c r="B2" s="4" t="s">
        <v>112</v>
      </c>
    </row>
    <row r="3">
      <c r="A3" s="23" t="s">
        <v>24</v>
      </c>
      <c r="B3" s="4" t="s">
        <v>113</v>
      </c>
    </row>
  </sheetData>
  <drawing r:id="rId1"/>
</worksheet>
</file>